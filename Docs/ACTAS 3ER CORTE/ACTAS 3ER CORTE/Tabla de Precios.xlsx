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<sst xmlns="http://schemas.openxmlformats.org/spreadsheetml/2006/main" count="210" uniqueCount="69">
  <si>
    <t>Cantidad</t>
  </si>
  <si>
    <t>Atributo</t>
  </si>
  <si>
    <t>Categoría</t>
  </si>
  <si>
    <t>Estado</t>
  </si>
  <si>
    <t>Encargado</t>
  </si>
  <si>
    <t>Precios</t>
  </si>
  <si>
    <t>Base general</t>
  </si>
  <si>
    <t>MDF</t>
  </si>
  <si>
    <t>Finalizado</t>
  </si>
  <si>
    <t>Laura</t>
  </si>
  <si>
    <t>Total</t>
  </si>
  <si>
    <t>Soporte para base pimpones</t>
  </si>
  <si>
    <t>PETG</t>
  </si>
  <si>
    <t>Carol</t>
  </si>
  <si>
    <t>Total Laura</t>
  </si>
  <si>
    <t>Planetario</t>
  </si>
  <si>
    <t>Total Carol</t>
  </si>
  <si>
    <t>Engranaje planetario</t>
  </si>
  <si>
    <t>Total Laura y Carol</t>
  </si>
  <si>
    <t>Base interior de planetario</t>
  </si>
  <si>
    <t>Acoples base - planetario</t>
  </si>
  <si>
    <t>Base superior planetario</t>
  </si>
  <si>
    <t>Base pimpones</t>
  </si>
  <si>
    <t>Dispensador de pimpones</t>
  </si>
  <si>
    <t>Laura y Carol</t>
  </si>
  <si>
    <t>Varilla</t>
  </si>
  <si>
    <t>Acero</t>
  </si>
  <si>
    <t>Tornillos M4</t>
  </si>
  <si>
    <t>Correa HTD 3 210</t>
  </si>
  <si>
    <t>Varios</t>
  </si>
  <si>
    <t>Correa HTD 3 219</t>
  </si>
  <si>
    <t>Servo motor ms90</t>
  </si>
  <si>
    <t>Motor 90:1</t>
  </si>
  <si>
    <t>Base para eslabones</t>
  </si>
  <si>
    <t>Eslabón inferior</t>
  </si>
  <si>
    <t>Eslabón superior 1</t>
  </si>
  <si>
    <t>Pinza 1</t>
  </si>
  <si>
    <t>TPU</t>
  </si>
  <si>
    <t>Rodamientos 608RS</t>
  </si>
  <si>
    <t>Soporte motor pinza</t>
  </si>
  <si>
    <t>Motor de 150 rpm</t>
  </si>
  <si>
    <t>Tornillos M3</t>
  </si>
  <si>
    <t>Acoples pinza</t>
  </si>
  <si>
    <t>Bisagra</t>
  </si>
  <si>
    <t>Estiba</t>
  </si>
  <si>
    <t>Tornillos M2</t>
  </si>
  <si>
    <t>Engranaje 24 dientes HTD 3M</t>
  </si>
  <si>
    <t>Engranaje 20 dientes HTD 3M</t>
  </si>
  <si>
    <t>Engranaje 45 dientes HTD 3M</t>
  </si>
  <si>
    <t>Engranaje 48 dientes HTD 3M</t>
  </si>
  <si>
    <t>Ganchos</t>
  </si>
  <si>
    <t>Superbonder</t>
  </si>
  <si>
    <t>Limitadores</t>
  </si>
  <si>
    <t>PCB 1</t>
  </si>
  <si>
    <t>PCB 2</t>
  </si>
  <si>
    <t>Condensadores</t>
  </si>
  <si>
    <t>Regleta Pines macho macho</t>
  </si>
  <si>
    <t>Regleta pines macho hembra</t>
  </si>
  <si>
    <t>Borneras</t>
  </si>
  <si>
    <t>Drivers TB6612FNG</t>
  </si>
  <si>
    <t>IMU MPU6050</t>
  </si>
  <si>
    <t>Jumper hembra hembra 30 cm</t>
  </si>
  <si>
    <t>Jumper hembra macho 30 cm</t>
  </si>
  <si>
    <t>Sensor hall KV003</t>
  </si>
  <si>
    <t>Iman</t>
  </si>
  <si>
    <t>Organizador cable</t>
  </si>
  <si>
    <t>Jumper macho macho</t>
  </si>
  <si>
    <t>L</t>
  </si>
  <si>
    <t>Lijas 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</si>
</sst>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1" displayName="Priorización_de_productos" name="Priorización_de_productos" id="1">
  <tableColumns count="6">
    <tableColumn name="Cantidad" id="1"/>
    <tableColumn name="Atributo" id="2"/>
    <tableColumn name="Categoría" id="3"/>
    <tableColumn name="Estado" id="4"/>
    <tableColumn name="Encargado" id="5"/>
    <tableColumn name="Precios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27.63"/>
    <col customWidth="1" min="3" max="3" width="17.63"/>
    <col customWidth="1" min="4" max="4" width="15.13"/>
    <col customWidth="1" min="5" max="5" width="16.63"/>
    <col customWidth="1" min="6" max="6" width="17.63"/>
    <col customWidth="1" min="8" max="8" width="1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1.0</v>
      </c>
      <c r="B2" s="3" t="s">
        <v>6</v>
      </c>
      <c r="C2" s="2" t="s">
        <v>7</v>
      </c>
      <c r="D2" s="4" t="s">
        <v>8</v>
      </c>
      <c r="E2" s="4" t="s">
        <v>9</v>
      </c>
      <c r="F2" s="5">
        <v>15000.0</v>
      </c>
      <c r="G2" s="6"/>
      <c r="H2" s="7" t="s">
        <v>10</v>
      </c>
      <c r="I2" s="8">
        <f>SUM(Priorización_de_productos[Precios])</f>
        <v>983200</v>
      </c>
    </row>
    <row r="3" ht="22.5" customHeight="1">
      <c r="A3" s="2">
        <v>1.0</v>
      </c>
      <c r="B3" s="3" t="s">
        <v>11</v>
      </c>
      <c r="C3" s="2" t="s">
        <v>12</v>
      </c>
      <c r="D3" s="4" t="s">
        <v>8</v>
      </c>
      <c r="E3" s="4" t="s">
        <v>13</v>
      </c>
      <c r="F3" s="5">
        <v>2000.0</v>
      </c>
      <c r="H3" s="7" t="s">
        <v>14</v>
      </c>
      <c r="I3" s="8">
        <f>SUM(F2,F4,F5,F6,F7,F8,F9,F12,F13,F14,F16,F17,F18,F22,F23,F25,F26,F27,F30,F31,F32,F35,F37,F50)</f>
        <v>722600</v>
      </c>
    </row>
    <row r="4" ht="22.5" customHeight="1">
      <c r="A4" s="2">
        <v>1.0</v>
      </c>
      <c r="B4" s="3" t="s">
        <v>15</v>
      </c>
      <c r="C4" s="2" t="s">
        <v>12</v>
      </c>
      <c r="D4" s="4" t="s">
        <v>8</v>
      </c>
      <c r="E4" s="4" t="s">
        <v>9</v>
      </c>
      <c r="F4" s="5">
        <v>80000.0</v>
      </c>
      <c r="H4" s="7" t="s">
        <v>16</v>
      </c>
      <c r="I4" s="8">
        <f>SUM(F3,F15,F19,F20,F28,F29,F36,F39,F40,F41,F42,F43,F44,F45,F46,F49,F51)</f>
        <v>167000</v>
      </c>
    </row>
    <row r="5" ht="22.5" customHeight="1">
      <c r="A5" s="2">
        <v>1.0</v>
      </c>
      <c r="B5" s="3" t="s">
        <v>17</v>
      </c>
      <c r="C5" s="2" t="s">
        <v>12</v>
      </c>
      <c r="D5" s="4" t="s">
        <v>8</v>
      </c>
      <c r="E5" s="4" t="s">
        <v>9</v>
      </c>
      <c r="F5" s="5">
        <v>35000.0</v>
      </c>
      <c r="H5" s="7" t="s">
        <v>18</v>
      </c>
      <c r="I5" s="8">
        <f>SUM(F10:F11,F21,F24,F34,F38,F47,F48)</f>
        <v>88600</v>
      </c>
    </row>
    <row r="6" ht="22.5" customHeight="1">
      <c r="A6" s="2">
        <v>1.0</v>
      </c>
      <c r="B6" s="3" t="s">
        <v>19</v>
      </c>
      <c r="C6" s="2" t="s">
        <v>7</v>
      </c>
      <c r="D6" s="4" t="s">
        <v>8</v>
      </c>
      <c r="E6" s="4" t="s">
        <v>9</v>
      </c>
      <c r="F6" s="5">
        <v>10000.0</v>
      </c>
    </row>
    <row r="7" ht="22.5" customHeight="1">
      <c r="A7" s="2">
        <v>1.0</v>
      </c>
      <c r="B7" s="3" t="s">
        <v>20</v>
      </c>
      <c r="C7" s="2" t="s">
        <v>12</v>
      </c>
      <c r="D7" s="4" t="s">
        <v>8</v>
      </c>
      <c r="E7" s="4" t="s">
        <v>9</v>
      </c>
      <c r="F7" s="5">
        <v>1000.0</v>
      </c>
    </row>
    <row r="8" ht="22.5" customHeight="1">
      <c r="A8" s="2">
        <v>1.0</v>
      </c>
      <c r="B8" s="3" t="s">
        <v>21</v>
      </c>
      <c r="C8" s="2" t="s">
        <v>7</v>
      </c>
      <c r="D8" s="4" t="s">
        <v>8</v>
      </c>
      <c r="E8" s="4" t="s">
        <v>9</v>
      </c>
      <c r="F8" s="5">
        <v>800.0</v>
      </c>
    </row>
    <row r="9" ht="22.5" customHeight="1">
      <c r="A9" s="2">
        <v>1.0</v>
      </c>
      <c r="B9" s="3" t="s">
        <v>22</v>
      </c>
      <c r="C9" s="2" t="s">
        <v>7</v>
      </c>
      <c r="D9" s="4" t="s">
        <v>8</v>
      </c>
      <c r="E9" s="4" t="s">
        <v>9</v>
      </c>
      <c r="F9" s="5">
        <v>3000.0</v>
      </c>
    </row>
    <row r="10" ht="22.5" customHeight="1">
      <c r="A10" s="2">
        <v>1.0</v>
      </c>
      <c r="B10" s="3" t="s">
        <v>23</v>
      </c>
      <c r="C10" s="2" t="s">
        <v>12</v>
      </c>
      <c r="D10" s="4" t="s">
        <v>8</v>
      </c>
      <c r="E10" s="4" t="s">
        <v>24</v>
      </c>
      <c r="F10" s="5">
        <v>8000.0</v>
      </c>
    </row>
    <row r="11" ht="22.5" customHeight="1">
      <c r="A11" s="2">
        <v>1.0</v>
      </c>
      <c r="B11" s="3" t="s">
        <v>25</v>
      </c>
      <c r="C11" s="2" t="s">
        <v>26</v>
      </c>
      <c r="D11" s="4" t="s">
        <v>8</v>
      </c>
      <c r="E11" s="4" t="s">
        <v>24</v>
      </c>
      <c r="F11" s="5">
        <v>10000.0</v>
      </c>
    </row>
    <row r="12" ht="22.5" customHeight="1">
      <c r="A12" s="2">
        <v>4.0</v>
      </c>
      <c r="B12" s="3" t="s">
        <v>27</v>
      </c>
      <c r="C12" s="2" t="s">
        <v>26</v>
      </c>
      <c r="D12" s="4" t="s">
        <v>8</v>
      </c>
      <c r="E12" s="4" t="s">
        <v>9</v>
      </c>
      <c r="F12" s="9">
        <f>200*A12</f>
        <v>800</v>
      </c>
    </row>
    <row r="13" ht="22.5" customHeight="1">
      <c r="A13" s="2">
        <v>1.0</v>
      </c>
      <c r="B13" s="3" t="s">
        <v>28</v>
      </c>
      <c r="C13" s="10" t="s">
        <v>29</v>
      </c>
      <c r="D13" s="4" t="s">
        <v>8</v>
      </c>
      <c r="E13" s="4" t="s">
        <v>9</v>
      </c>
      <c r="F13" s="5">
        <v>18000.0</v>
      </c>
    </row>
    <row r="14" ht="22.5" customHeight="1">
      <c r="A14" s="2">
        <v>1.0</v>
      </c>
      <c r="B14" s="3" t="s">
        <v>30</v>
      </c>
      <c r="C14" s="10" t="s">
        <v>29</v>
      </c>
      <c r="D14" s="4" t="s">
        <v>8</v>
      </c>
      <c r="E14" s="4" t="s">
        <v>9</v>
      </c>
      <c r="F14" s="5">
        <v>34000.0</v>
      </c>
    </row>
    <row r="15" ht="22.5" customHeight="1">
      <c r="A15" s="2">
        <v>1.0</v>
      </c>
      <c r="B15" s="3" t="s">
        <v>31</v>
      </c>
      <c r="C15" s="10" t="s">
        <v>29</v>
      </c>
      <c r="D15" s="4" t="s">
        <v>8</v>
      </c>
      <c r="E15" s="4" t="s">
        <v>13</v>
      </c>
      <c r="F15" s="5">
        <v>13900.0</v>
      </c>
    </row>
    <row r="16" ht="22.5" customHeight="1">
      <c r="A16" s="2">
        <v>2.0</v>
      </c>
      <c r="B16" s="3" t="s">
        <v>32</v>
      </c>
      <c r="C16" s="10" t="s">
        <v>29</v>
      </c>
      <c r="D16" s="4" t="s">
        <v>8</v>
      </c>
      <c r="E16" s="4" t="s">
        <v>9</v>
      </c>
      <c r="F16" s="9">
        <f>130000*A16</f>
        <v>260000</v>
      </c>
    </row>
    <row r="17" ht="22.5" customHeight="1">
      <c r="A17" s="2">
        <v>1.0</v>
      </c>
      <c r="B17" s="3" t="s">
        <v>33</v>
      </c>
      <c r="C17" s="2" t="s">
        <v>12</v>
      </c>
      <c r="D17" s="4" t="s">
        <v>8</v>
      </c>
      <c r="E17" s="4" t="s">
        <v>9</v>
      </c>
      <c r="F17" s="5">
        <v>30000.0</v>
      </c>
    </row>
    <row r="18" ht="22.5" customHeight="1">
      <c r="A18" s="2">
        <v>1.0</v>
      </c>
      <c r="B18" s="3" t="s">
        <v>34</v>
      </c>
      <c r="C18" s="2" t="s">
        <v>12</v>
      </c>
      <c r="D18" s="4" t="s">
        <v>8</v>
      </c>
      <c r="E18" s="4" t="s">
        <v>9</v>
      </c>
      <c r="F18" s="5">
        <v>70000.0</v>
      </c>
    </row>
    <row r="19" ht="22.5" customHeight="1">
      <c r="A19" s="2">
        <v>1.0</v>
      </c>
      <c r="B19" s="3" t="s">
        <v>35</v>
      </c>
      <c r="C19" s="2" t="s">
        <v>12</v>
      </c>
      <c r="D19" s="4" t="s">
        <v>8</v>
      </c>
      <c r="E19" s="4" t="s">
        <v>13</v>
      </c>
      <c r="F19" s="5">
        <v>30000.0</v>
      </c>
    </row>
    <row r="20" ht="22.5" customHeight="1">
      <c r="A20" s="2">
        <v>1.0</v>
      </c>
      <c r="B20" s="3" t="s">
        <v>36</v>
      </c>
      <c r="C20" s="10" t="s">
        <v>37</v>
      </c>
      <c r="D20" s="4" t="s">
        <v>8</v>
      </c>
      <c r="E20" s="4" t="s">
        <v>13</v>
      </c>
      <c r="F20" s="5">
        <v>8000.0</v>
      </c>
    </row>
    <row r="21" ht="22.5" customHeight="1">
      <c r="A21" s="2">
        <v>10.0</v>
      </c>
      <c r="B21" s="3" t="s">
        <v>38</v>
      </c>
      <c r="C21" s="10" t="s">
        <v>26</v>
      </c>
      <c r="D21" s="4" t="s">
        <v>8</v>
      </c>
      <c r="E21" s="4" t="s">
        <v>24</v>
      </c>
      <c r="F21" s="9">
        <f>4600*A21</f>
        <v>46000</v>
      </c>
    </row>
    <row r="22" ht="22.5" customHeight="1">
      <c r="A22" s="2">
        <v>1.0</v>
      </c>
      <c r="B22" s="3" t="s">
        <v>39</v>
      </c>
      <c r="C22" s="10" t="s">
        <v>12</v>
      </c>
      <c r="D22" s="4" t="s">
        <v>8</v>
      </c>
      <c r="E22" s="4" t="s">
        <v>9</v>
      </c>
      <c r="F22" s="5">
        <v>1000.0</v>
      </c>
    </row>
    <row r="23" ht="22.5" customHeight="1">
      <c r="A23" s="2">
        <v>1.0</v>
      </c>
      <c r="B23" s="3" t="s">
        <v>40</v>
      </c>
      <c r="C23" s="10" t="s">
        <v>29</v>
      </c>
      <c r="D23" s="4" t="s">
        <v>8</v>
      </c>
      <c r="E23" s="4" t="s">
        <v>9</v>
      </c>
      <c r="F23" s="5">
        <v>80000.0</v>
      </c>
    </row>
    <row r="24" ht="22.5" customHeight="1">
      <c r="A24" s="2">
        <v>10.0</v>
      </c>
      <c r="B24" s="3" t="s">
        <v>41</v>
      </c>
      <c r="C24" s="10" t="s">
        <v>26</v>
      </c>
      <c r="D24" s="4" t="s">
        <v>8</v>
      </c>
      <c r="E24" s="4" t="s">
        <v>24</v>
      </c>
      <c r="F24" s="9">
        <f>150*A24</f>
        <v>1500</v>
      </c>
    </row>
    <row r="25" ht="22.5" customHeight="1">
      <c r="A25" s="2">
        <v>10.0</v>
      </c>
      <c r="B25" s="3" t="s">
        <v>42</v>
      </c>
      <c r="C25" s="10" t="s">
        <v>12</v>
      </c>
      <c r="D25" s="4" t="s">
        <v>8</v>
      </c>
      <c r="E25" s="4" t="s">
        <v>9</v>
      </c>
      <c r="F25" s="5">
        <v>500.0</v>
      </c>
    </row>
    <row r="26" ht="22.5" customHeight="1">
      <c r="A26" s="2">
        <v>1.0</v>
      </c>
      <c r="B26" s="3" t="s">
        <v>43</v>
      </c>
      <c r="C26" s="10" t="s">
        <v>26</v>
      </c>
      <c r="D26" s="4" t="s">
        <v>8</v>
      </c>
      <c r="E26" s="4" t="s">
        <v>9</v>
      </c>
      <c r="F26" s="5">
        <v>2500.0</v>
      </c>
    </row>
    <row r="27" ht="22.5" customHeight="1">
      <c r="A27" s="2">
        <v>4.0</v>
      </c>
      <c r="B27" s="3" t="s">
        <v>44</v>
      </c>
      <c r="C27" s="10" t="s">
        <v>7</v>
      </c>
      <c r="D27" s="4" t="s">
        <v>8</v>
      </c>
      <c r="E27" s="4" t="s">
        <v>9</v>
      </c>
      <c r="F27" s="5">
        <v>8000.0</v>
      </c>
    </row>
    <row r="28" ht="22.5" customHeight="1">
      <c r="A28" s="2">
        <v>8.0</v>
      </c>
      <c r="B28" s="3" t="s">
        <v>45</v>
      </c>
      <c r="C28" s="10" t="s">
        <v>26</v>
      </c>
      <c r="D28" s="4" t="s">
        <v>8</v>
      </c>
      <c r="E28" s="4" t="s">
        <v>13</v>
      </c>
      <c r="F28" s="5">
        <v>500.0</v>
      </c>
    </row>
    <row r="29" ht="22.5" customHeight="1">
      <c r="A29" s="2">
        <v>1.0</v>
      </c>
      <c r="B29" s="3" t="s">
        <v>46</v>
      </c>
      <c r="C29" s="10" t="s">
        <v>12</v>
      </c>
      <c r="D29" s="4" t="s">
        <v>8</v>
      </c>
      <c r="E29" s="4" t="s">
        <v>13</v>
      </c>
      <c r="F29" s="5">
        <v>2000.0</v>
      </c>
    </row>
    <row r="30" ht="22.5" customHeight="1">
      <c r="A30" s="2">
        <v>1.0</v>
      </c>
      <c r="B30" s="3" t="s">
        <v>47</v>
      </c>
      <c r="C30" s="10" t="s">
        <v>12</v>
      </c>
      <c r="D30" s="4" t="s">
        <v>8</v>
      </c>
      <c r="E30" s="4" t="s">
        <v>9</v>
      </c>
      <c r="F30" s="5">
        <v>2000.0</v>
      </c>
    </row>
    <row r="31" ht="22.5" customHeight="1">
      <c r="A31" s="2">
        <v>1.0</v>
      </c>
      <c r="B31" s="3" t="s">
        <v>48</v>
      </c>
      <c r="C31" s="10" t="s">
        <v>12</v>
      </c>
      <c r="D31" s="4" t="s">
        <v>8</v>
      </c>
      <c r="E31" s="4" t="s">
        <v>9</v>
      </c>
      <c r="F31" s="5">
        <v>5000.0</v>
      </c>
    </row>
    <row r="32" ht="22.5" customHeight="1">
      <c r="A32" s="2">
        <v>1.0</v>
      </c>
      <c r="B32" s="3" t="s">
        <v>49</v>
      </c>
      <c r="C32" s="10" t="s">
        <v>12</v>
      </c>
      <c r="D32" s="4" t="s">
        <v>8</v>
      </c>
      <c r="E32" s="4" t="s">
        <v>9</v>
      </c>
      <c r="F32" s="5">
        <v>6000.0</v>
      </c>
    </row>
    <row r="33" ht="22.5" customHeight="1">
      <c r="A33" s="2">
        <v>10.0</v>
      </c>
      <c r="B33" s="3" t="s">
        <v>50</v>
      </c>
      <c r="C33" s="10" t="s">
        <v>26</v>
      </c>
      <c r="D33" s="4" t="s">
        <v>8</v>
      </c>
      <c r="E33" s="4" t="s">
        <v>9</v>
      </c>
      <c r="F33" s="5">
        <v>5000.0</v>
      </c>
    </row>
    <row r="34" ht="22.5" customHeight="1">
      <c r="A34" s="2">
        <v>3.0</v>
      </c>
      <c r="B34" s="3" t="s">
        <v>51</v>
      </c>
      <c r="C34" s="10" t="s">
        <v>29</v>
      </c>
      <c r="D34" s="4" t="s">
        <v>8</v>
      </c>
      <c r="E34" s="4" t="s">
        <v>24</v>
      </c>
      <c r="F34" s="9">
        <f>5600*A34</f>
        <v>16800</v>
      </c>
    </row>
    <row r="35" ht="22.5" customHeight="1">
      <c r="A35" s="2">
        <v>4.0</v>
      </c>
      <c r="B35" s="3" t="s">
        <v>52</v>
      </c>
      <c r="C35" s="10" t="s">
        <v>12</v>
      </c>
      <c r="D35" s="4" t="s">
        <v>8</v>
      </c>
      <c r="E35" s="4" t="s">
        <v>9</v>
      </c>
      <c r="F35" s="5">
        <v>3000.0</v>
      </c>
    </row>
    <row r="36" ht="22.5" customHeight="1">
      <c r="A36" s="2">
        <v>1.0</v>
      </c>
      <c r="B36" s="3" t="s">
        <v>53</v>
      </c>
      <c r="C36" s="10" t="s">
        <v>29</v>
      </c>
      <c r="D36" s="4" t="s">
        <v>8</v>
      </c>
      <c r="E36" s="4" t="s">
        <v>13</v>
      </c>
      <c r="F36" s="5">
        <v>40000.0</v>
      </c>
    </row>
    <row r="37" ht="22.5" customHeight="1">
      <c r="A37" s="2">
        <v>1.0</v>
      </c>
      <c r="B37" s="3" t="s">
        <v>54</v>
      </c>
      <c r="C37" s="10" t="s">
        <v>29</v>
      </c>
      <c r="D37" s="4" t="s">
        <v>8</v>
      </c>
      <c r="E37" s="4" t="s">
        <v>9</v>
      </c>
      <c r="F37" s="5">
        <v>55000.0</v>
      </c>
    </row>
    <row r="38" ht="22.5" customHeight="1">
      <c r="A38" s="2">
        <v>4.0</v>
      </c>
      <c r="B38" s="3" t="s">
        <v>55</v>
      </c>
      <c r="C38" s="10" t="s">
        <v>29</v>
      </c>
      <c r="D38" s="4" t="s">
        <v>8</v>
      </c>
      <c r="E38" s="4" t="s">
        <v>24</v>
      </c>
      <c r="F38" s="5">
        <v>1400.0</v>
      </c>
    </row>
    <row r="39" ht="22.5" customHeight="1">
      <c r="A39" s="2">
        <v>4.0</v>
      </c>
      <c r="B39" s="3" t="s">
        <v>56</v>
      </c>
      <c r="C39" s="10" t="s">
        <v>29</v>
      </c>
      <c r="D39" s="4" t="s">
        <v>8</v>
      </c>
      <c r="E39" s="4" t="s">
        <v>13</v>
      </c>
      <c r="F39" s="5">
        <v>2400.0</v>
      </c>
    </row>
    <row r="40" ht="22.5" customHeight="1">
      <c r="A40" s="2">
        <v>4.0</v>
      </c>
      <c r="B40" s="3" t="s">
        <v>57</v>
      </c>
      <c r="C40" s="10" t="s">
        <v>29</v>
      </c>
      <c r="D40" s="4" t="s">
        <v>8</v>
      </c>
      <c r="E40" s="4" t="s">
        <v>13</v>
      </c>
      <c r="F40" s="5">
        <v>5600.0</v>
      </c>
    </row>
    <row r="41" ht="22.5" customHeight="1">
      <c r="A41" s="2">
        <v>3.0</v>
      </c>
      <c r="B41" s="3" t="s">
        <v>58</v>
      </c>
      <c r="C41" s="10" t="s">
        <v>29</v>
      </c>
      <c r="D41" s="4" t="s">
        <v>8</v>
      </c>
      <c r="E41" s="4" t="s">
        <v>13</v>
      </c>
      <c r="F41" s="9">
        <f>500*A41</f>
        <v>1500</v>
      </c>
    </row>
    <row r="42" ht="22.5" customHeight="1">
      <c r="A42" s="2">
        <v>2.0</v>
      </c>
      <c r="B42" s="3" t="s">
        <v>59</v>
      </c>
      <c r="C42" s="10" t="s">
        <v>29</v>
      </c>
      <c r="D42" s="4" t="s">
        <v>8</v>
      </c>
      <c r="E42" s="4" t="s">
        <v>13</v>
      </c>
      <c r="F42" s="9">
        <f>11900*A42</f>
        <v>23800</v>
      </c>
    </row>
    <row r="43" ht="22.5" customHeight="1">
      <c r="A43" s="2">
        <v>2.0</v>
      </c>
      <c r="B43" s="3" t="s">
        <v>60</v>
      </c>
      <c r="C43" s="10" t="s">
        <v>29</v>
      </c>
      <c r="D43" s="4" t="s">
        <v>8</v>
      </c>
      <c r="E43" s="4" t="s">
        <v>13</v>
      </c>
      <c r="F43" s="5">
        <f>14900</f>
        <v>14900</v>
      </c>
    </row>
    <row r="44" ht="22.5" customHeight="1">
      <c r="A44" s="2">
        <v>2.0</v>
      </c>
      <c r="B44" s="3" t="s">
        <v>61</v>
      </c>
      <c r="C44" s="10" t="s">
        <v>29</v>
      </c>
      <c r="D44" s="4" t="s">
        <v>8</v>
      </c>
      <c r="E44" s="4" t="s">
        <v>13</v>
      </c>
      <c r="F44" s="5">
        <v>5800.0</v>
      </c>
    </row>
    <row r="45" ht="22.5" customHeight="1">
      <c r="A45" s="2">
        <v>2.0</v>
      </c>
      <c r="B45" s="3" t="s">
        <v>62</v>
      </c>
      <c r="C45" s="10" t="s">
        <v>29</v>
      </c>
      <c r="D45" s="4" t="s">
        <v>8</v>
      </c>
      <c r="E45" s="4" t="s">
        <v>13</v>
      </c>
      <c r="F45" s="5">
        <v>5800.0</v>
      </c>
    </row>
    <row r="46" ht="22.5" customHeight="1">
      <c r="A46" s="2">
        <v>1.0</v>
      </c>
      <c r="B46" s="3" t="s">
        <v>63</v>
      </c>
      <c r="C46" s="10" t="s">
        <v>29</v>
      </c>
      <c r="D46" s="4" t="s">
        <v>8</v>
      </c>
      <c r="E46" s="4" t="s">
        <v>13</v>
      </c>
      <c r="F46" s="5">
        <v>5600.0</v>
      </c>
    </row>
    <row r="47" ht="22.5" customHeight="1">
      <c r="A47" s="2">
        <v>1.0</v>
      </c>
      <c r="B47" s="3" t="s">
        <v>64</v>
      </c>
      <c r="C47" s="10" t="s">
        <v>29</v>
      </c>
      <c r="D47" s="4" t="s">
        <v>8</v>
      </c>
      <c r="E47" s="4" t="s">
        <v>24</v>
      </c>
      <c r="F47" s="5">
        <v>2400.0</v>
      </c>
    </row>
    <row r="48" ht="22.5" customHeight="1">
      <c r="A48" s="2">
        <v>1.0</v>
      </c>
      <c r="B48" s="3" t="s">
        <v>65</v>
      </c>
      <c r="C48" s="10" t="s">
        <v>29</v>
      </c>
      <c r="D48" s="4" t="s">
        <v>8</v>
      </c>
      <c r="E48" s="4" t="s">
        <v>24</v>
      </c>
      <c r="F48" s="5">
        <v>2500.0</v>
      </c>
    </row>
    <row r="49" ht="22.5" customHeight="1">
      <c r="A49" s="2">
        <v>1.0</v>
      </c>
      <c r="B49" s="3" t="s">
        <v>66</v>
      </c>
      <c r="C49" s="10" t="s">
        <v>29</v>
      </c>
      <c r="D49" s="4" t="s">
        <v>8</v>
      </c>
      <c r="E49" s="4" t="s">
        <v>13</v>
      </c>
      <c r="F49" s="5">
        <v>2900.0</v>
      </c>
    </row>
    <row r="50" ht="22.5" customHeight="1">
      <c r="A50" s="2">
        <v>2.0</v>
      </c>
      <c r="B50" s="3" t="s">
        <v>67</v>
      </c>
      <c r="C50" s="10" t="s">
        <v>29</v>
      </c>
      <c r="D50" s="4" t="s">
        <v>8</v>
      </c>
      <c r="E50" s="4" t="s">
        <v>9</v>
      </c>
      <c r="F50" s="5">
        <f>1000*A50</f>
        <v>2000</v>
      </c>
    </row>
    <row r="51" ht="22.5" customHeight="1">
      <c r="A51" s="2">
        <v>2.0</v>
      </c>
      <c r="B51" s="3" t="s">
        <v>68</v>
      </c>
      <c r="C51" s="10" t="s">
        <v>29</v>
      </c>
      <c r="D51" s="4" t="s">
        <v>8</v>
      </c>
      <c r="E51" s="4" t="s">
        <v>13</v>
      </c>
      <c r="F51" s="5">
        <f>2300</f>
        <v>2300</v>
      </c>
    </row>
  </sheetData>
  <dataValidations>
    <dataValidation type="list" allowBlank="1" sqref="D2:D51">
      <formula1>"En proceso,Retrasado,Finalizado"</formula1>
    </dataValidation>
    <dataValidation type="list" allowBlank="1" sqref="C2:C51">
      <formula1>"MDF,PETG,TPU,Acero,Varios"</formula1>
    </dataValidation>
    <dataValidation type="custom" allowBlank="1" showDropDown="1" sqref="F2:F51">
      <formula1>AND(ISNUMBER(F2),(NOT(OR(NOT(ISERROR(DATEVALUE(F2))), AND(ISNUMBER(F2), LEFT(CELL("format", F2))="D")))))</formula1>
    </dataValidation>
    <dataValidation allowBlank="1" showDropDown="1" sqref="B2:B51"/>
    <dataValidation type="list" allowBlank="1" sqref="E2:E51">
      <formula1>"Laura,Carol,Laura y Carol"</formula1>
    </dataValidation>
  </dataValidations>
  <drawing r:id="rId1"/>
  <tableParts count="1">
    <tablePart r:id="rId3"/>
  </tableParts>
</worksheet>
</file>